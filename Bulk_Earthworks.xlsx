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lk Earthwork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<sst xmlns="http://schemas.openxmlformats.org/spreadsheetml/2006/main" count="36" uniqueCount="29">
  <si>
    <t xml:space="preserve">SITE TOTAL BULK EARTHWORKS - PRELIMINARY VOLUMES</t>
  </si>
  <si>
    <t xml:space="preserve">SUBGRADE WORKS BULK EARTHWORKS ONLY</t>
  </si>
  <si>
    <t xml:space="preserve">CATCH</t>
  </si>
  <si>
    <t xml:space="preserve">AREA (m2)</t>
  </si>
  <si>
    <t xml:space="preserve">AVG exL</t>
  </si>
  <si>
    <t xml:space="preserve">AVG FL</t>
  </si>
  <si>
    <t xml:space="preserve">BUILDUP</t>
  </si>
  <si>
    <t xml:space="preserve">SUBGRADE</t>
  </si>
  <si>
    <t xml:space="preserve">AVG BEL</t>
  </si>
  <si>
    <t xml:space="preserve">CUT (m3)</t>
  </si>
  <si>
    <t xml:space="preserve">FILL (m3)</t>
  </si>
  <si>
    <t xml:space="preserve">BULK (m3)</t>
  </si>
  <si>
    <t xml:space="preserve">LZ1</t>
  </si>
  <si>
    <t xml:space="preserve">LZ2</t>
  </si>
  <si>
    <t xml:space="preserve">LZ3</t>
  </si>
  <si>
    <t xml:space="preserve">LZ4</t>
  </si>
  <si>
    <t xml:space="preserve">LZ5</t>
  </si>
  <si>
    <t xml:space="preserve">LZ6</t>
  </si>
  <si>
    <t xml:space="preserve">LZ7</t>
  </si>
  <si>
    <t xml:space="preserve">COURT</t>
  </si>
  <si>
    <t xml:space="preserve">CP</t>
  </si>
  <si>
    <t xml:space="preserve">UC1</t>
  </si>
  <si>
    <t xml:space="preserve">UC2</t>
  </si>
  <si>
    <t xml:space="preserve">TOTAL</t>
  </si>
  <si>
    <t xml:space="preserve">/</t>
  </si>
  <si>
    <t xml:space="preserve">This volume is a high level not earthworks volume and INCLUDES an additional 200mm subgrade</t>
  </si>
  <si>
    <t xml:space="preserve">QS PRELIMINARY TENDER NOTES &amp; ASSUMPTIONS</t>
  </si>
  <si>
    <t xml:space="preserve">Formulas: AVG BEL = AVG FL - BUILDUP - SUBGRADE;  CUT = MAX(0, exL - BEL) x AREA;  FILL = MAX(0, BEL - exL) x AREA;  BULK = CUT - FILL;  Subgrade CUT = AREA x SUBGRADE.</t>
  </si>
  <si>
    <t xml:space="preserve">Blue text = inputs (values taken from the supplied screenshot).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</si>
</sst>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"/>
    <numFmt numFmtId="167" formatCode="#,##0.00;\-#,##0.00;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1"/>
      <color rgb="FFFF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sz val="8"/>
      <color rgb="FFFF0000"/>
      <name val="Arial"/>
      <family val="0"/>
      <charset val="1"/>
    </font>
    <font>
      <i val="true"/>
      <sz val="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D9D9D9"/>
        <bgColor rgb="FFC0C0C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5" min="3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3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11"/>
  </cols>
  <sheetData>
    <row r="1" customFormat="false" ht="19.5" hidden="false" customHeight="true" outlineLevel="0" collapsed="false">
      <c r="C1" s="1" t="s">
        <v>0</v>
      </c>
      <c r="D1" s="1"/>
      <c r="E1" s="1"/>
      <c r="F1" s="1"/>
      <c r="G1" s="1"/>
      <c r="H1" s="1"/>
      <c r="I1" s="1"/>
      <c r="L1" s="1" t="s">
        <v>1</v>
      </c>
      <c r="M1" s="1"/>
      <c r="N1" s="1"/>
    </row>
    <row r="2" customFormat="false" ht="15" hidden="false" customHeight="false" outlineLevel="0" collapsed="false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L2" s="2" t="s">
        <v>9</v>
      </c>
      <c r="M2" s="2" t="s">
        <v>10</v>
      </c>
      <c r="N2" s="2" t="s">
        <v>11</v>
      </c>
    </row>
    <row r="3" customFormat="false" ht="15" hidden="false" customHeight="false" outlineLevel="0" collapsed="false">
      <c r="A3" s="3" t="s">
        <v>12</v>
      </c>
      <c r="B3" s="4" t="n">
        <v>717</v>
      </c>
      <c r="C3" s="5" t="n">
        <v>117</v>
      </c>
      <c r="D3" s="5" t="n">
        <v>117</v>
      </c>
      <c r="E3" s="5" t="n">
        <v>0.32</v>
      </c>
      <c r="F3" s="5" t="n">
        <v>0.2</v>
      </c>
      <c r="G3" s="6" t="n">
        <f aca="false">D3-E3-F3</f>
        <v>116.48</v>
      </c>
      <c r="H3" s="7" t="n">
        <f aca="false">MAX(0,C3-G3)*B3</f>
        <v>372.839999999997</v>
      </c>
      <c r="I3" s="7" t="n">
        <f aca="false">MAX(0,G3-C3)*B3</f>
        <v>0</v>
      </c>
      <c r="J3" s="7" t="n">
        <f aca="false">H3-I3</f>
        <v>372.839999999997</v>
      </c>
      <c r="L3" s="7" t="n">
        <f aca="false">B3*F3</f>
        <v>143.4</v>
      </c>
      <c r="M3" s="8" t="n">
        <v>0</v>
      </c>
      <c r="N3" s="7" t="n">
        <f aca="false">L3-M3</f>
        <v>143.4</v>
      </c>
    </row>
    <row r="4" customFormat="false" ht="15" hidden="false" customHeight="false" outlineLevel="0" collapsed="false">
      <c r="A4" s="3" t="s">
        <v>13</v>
      </c>
      <c r="B4" s="4" t="n">
        <v>482</v>
      </c>
      <c r="C4" s="5" t="n">
        <v>116.9</v>
      </c>
      <c r="D4" s="5" t="n">
        <v>116.9</v>
      </c>
      <c r="E4" s="5" t="n">
        <v>0.32</v>
      </c>
      <c r="F4" s="5" t="n">
        <v>0.2</v>
      </c>
      <c r="G4" s="6" t="n">
        <f aca="false">D4-E4-F4</f>
        <v>116.38</v>
      </c>
      <c r="H4" s="7" t="n">
        <f aca="false">MAX(0,C4-G4)*B4</f>
        <v>250.639999999998</v>
      </c>
      <c r="I4" s="7" t="n">
        <f aca="false">MAX(0,G4-C4)*B4</f>
        <v>0</v>
      </c>
      <c r="J4" s="7" t="n">
        <f aca="false">H4-I4</f>
        <v>250.639999999998</v>
      </c>
      <c r="L4" s="7" t="n">
        <f aca="false">B4*F4</f>
        <v>96.4</v>
      </c>
      <c r="M4" s="8" t="n">
        <v>0</v>
      </c>
      <c r="N4" s="7" t="n">
        <f aca="false">L4-M4</f>
        <v>96.4</v>
      </c>
    </row>
    <row r="5" customFormat="false" ht="15" hidden="false" customHeight="false" outlineLevel="0" collapsed="false">
      <c r="A5" s="3" t="s">
        <v>14</v>
      </c>
      <c r="B5" s="4" t="n">
        <v>54</v>
      </c>
      <c r="C5" s="5" t="n">
        <v>116.7</v>
      </c>
      <c r="D5" s="5" t="n">
        <v>116.75</v>
      </c>
      <c r="E5" s="5" t="n">
        <v>0.32</v>
      </c>
      <c r="F5" s="5" t="n">
        <v>0.2</v>
      </c>
      <c r="G5" s="6" t="n">
        <f aca="false">D5-E5-F5</f>
        <v>116.23</v>
      </c>
      <c r="H5" s="7" t="n">
        <f aca="false">MAX(0,C5-G5)*B5</f>
        <v>25.3799999999999</v>
      </c>
      <c r="I5" s="7" t="n">
        <f aca="false">MAX(0,G5-C5)*B5</f>
        <v>0</v>
      </c>
      <c r="J5" s="7" t="n">
        <f aca="false">H5-I5</f>
        <v>25.3799999999999</v>
      </c>
      <c r="L5" s="7" t="n">
        <f aca="false">B5*F5</f>
        <v>10.8</v>
      </c>
      <c r="M5" s="8" t="n">
        <v>0</v>
      </c>
      <c r="N5" s="7" t="n">
        <f aca="false">L5-M5</f>
        <v>10.8</v>
      </c>
    </row>
    <row r="6" customFormat="false" ht="15" hidden="false" customHeight="false" outlineLevel="0" collapsed="false">
      <c r="A6" s="3" t="s">
        <v>15</v>
      </c>
      <c r="B6" s="4" t="n">
        <v>195</v>
      </c>
      <c r="C6" s="5" t="n">
        <v>116.6</v>
      </c>
      <c r="D6" s="5" t="n">
        <v>116.7</v>
      </c>
      <c r="E6" s="5" t="n">
        <v>0.32</v>
      </c>
      <c r="F6" s="5" t="n">
        <v>0.2</v>
      </c>
      <c r="G6" s="6" t="n">
        <f aca="false">D6-E6-F6</f>
        <v>116.18</v>
      </c>
      <c r="H6" s="7" t="n">
        <f aca="false">MAX(0,C6-G6)*B6</f>
        <v>81.8999999999976</v>
      </c>
      <c r="I6" s="7" t="n">
        <f aca="false">MAX(0,G6-C6)*B6</f>
        <v>0</v>
      </c>
      <c r="J6" s="7" t="n">
        <f aca="false">H6-I6</f>
        <v>81.8999999999976</v>
      </c>
      <c r="L6" s="7" t="n">
        <f aca="false">B6*F6</f>
        <v>39</v>
      </c>
      <c r="M6" s="8" t="n">
        <v>0</v>
      </c>
      <c r="N6" s="7" t="n">
        <f aca="false">L6-M6</f>
        <v>39</v>
      </c>
    </row>
    <row r="7" customFormat="false" ht="15" hidden="false" customHeight="false" outlineLevel="0" collapsed="false">
      <c r="A7" s="3" t="s">
        <v>16</v>
      </c>
      <c r="B7" s="4" t="n">
        <v>59</v>
      </c>
      <c r="C7" s="5" t="n">
        <v>116.7</v>
      </c>
      <c r="D7" s="5" t="n">
        <v>116.7</v>
      </c>
      <c r="E7" s="5" t="n">
        <v>0.32</v>
      </c>
      <c r="F7" s="5" t="n">
        <v>0.2</v>
      </c>
      <c r="G7" s="6" t="n">
        <f aca="false">D7-E7-F7</f>
        <v>116.18</v>
      </c>
      <c r="H7" s="7" t="n">
        <f aca="false">MAX(0,C7-G7)*B7</f>
        <v>30.6799999999998</v>
      </c>
      <c r="I7" s="7" t="n">
        <f aca="false">MAX(0,G7-C7)*B7</f>
        <v>0</v>
      </c>
      <c r="J7" s="7" t="n">
        <f aca="false">H7-I7</f>
        <v>30.6799999999998</v>
      </c>
      <c r="L7" s="7" t="n">
        <f aca="false">B7*F7</f>
        <v>11.8</v>
      </c>
      <c r="M7" s="8" t="n">
        <v>0</v>
      </c>
      <c r="N7" s="7" t="n">
        <f aca="false">L7-M7</f>
        <v>11.8</v>
      </c>
    </row>
    <row r="8" customFormat="false" ht="15" hidden="false" customHeight="false" outlineLevel="0" collapsed="false">
      <c r="A8" s="3" t="s">
        <v>17</v>
      </c>
      <c r="B8" s="4" t="n">
        <v>95</v>
      </c>
      <c r="C8" s="5" t="n">
        <v>116.9</v>
      </c>
      <c r="D8" s="5" t="n">
        <v>117.2</v>
      </c>
      <c r="E8" s="5" t="n">
        <v>0.32</v>
      </c>
      <c r="F8" s="5" t="n">
        <v>0.2</v>
      </c>
      <c r="G8" s="6" t="n">
        <f aca="false">D8-E8-F8</f>
        <v>116.68</v>
      </c>
      <c r="H8" s="7" t="n">
        <f aca="false">MAX(0,C8-G8)*B8</f>
        <v>20.8999999999999</v>
      </c>
      <c r="I8" s="7" t="n">
        <f aca="false">MAX(0,G8-C8)*B8</f>
        <v>0</v>
      </c>
      <c r="J8" s="7" t="n">
        <f aca="false">H8-I8</f>
        <v>20.8999999999999</v>
      </c>
      <c r="L8" s="7" t="n">
        <f aca="false">B8*F8</f>
        <v>19</v>
      </c>
      <c r="M8" s="8" t="n">
        <v>0</v>
      </c>
      <c r="N8" s="7" t="n">
        <f aca="false">L8-M8</f>
        <v>19</v>
      </c>
    </row>
    <row r="9" customFormat="false" ht="15" hidden="false" customHeight="false" outlineLevel="0" collapsed="false">
      <c r="A9" s="3" t="s">
        <v>18</v>
      </c>
      <c r="B9" s="4" t="n">
        <v>39</v>
      </c>
      <c r="C9" s="5" t="n">
        <v>117.3</v>
      </c>
      <c r="D9" s="5" t="n">
        <v>117.4</v>
      </c>
      <c r="E9" s="5" t="n">
        <v>0.32</v>
      </c>
      <c r="F9" s="5" t="n">
        <v>0.2</v>
      </c>
      <c r="G9" s="6" t="n">
        <f aca="false">D9-E9-F9</f>
        <v>116.88</v>
      </c>
      <c r="H9" s="7" t="n">
        <f aca="false">MAX(0,C9-G9)*B9</f>
        <v>16.3799999999995</v>
      </c>
      <c r="I9" s="7" t="n">
        <f aca="false">MAX(0,G9-C9)*B9</f>
        <v>0</v>
      </c>
      <c r="J9" s="7" t="n">
        <f aca="false">H9-I9</f>
        <v>16.3799999999995</v>
      </c>
      <c r="L9" s="7" t="n">
        <f aca="false">B9*F9</f>
        <v>7.8</v>
      </c>
      <c r="M9" s="8" t="n">
        <v>0</v>
      </c>
      <c r="N9" s="7" t="n">
        <f aca="false">L9-M9</f>
        <v>7.8</v>
      </c>
    </row>
    <row r="10" customFormat="false" ht="15" hidden="false" customHeight="false" outlineLevel="0" collapsed="false">
      <c r="A10" s="3" t="s">
        <v>19</v>
      </c>
      <c r="B10" s="4" t="n">
        <v>464</v>
      </c>
      <c r="C10" s="5" t="n">
        <v>116.8</v>
      </c>
      <c r="D10" s="5" t="n">
        <v>116.8</v>
      </c>
      <c r="E10" s="5" t="n">
        <v>0.36</v>
      </c>
      <c r="F10" s="5" t="n">
        <v>0.2</v>
      </c>
      <c r="G10" s="6" t="n">
        <f aca="false">D10-E10-F10</f>
        <v>116.24</v>
      </c>
      <c r="H10" s="7" t="n">
        <f aca="false">MAX(0,C10-G10)*B10</f>
        <v>259.840000000001</v>
      </c>
      <c r="I10" s="7" t="n">
        <f aca="false">MAX(0,G10-C10)*B10</f>
        <v>0</v>
      </c>
      <c r="J10" s="7" t="n">
        <f aca="false">H10-I10</f>
        <v>259.840000000001</v>
      </c>
      <c r="L10" s="7" t="n">
        <f aca="false">B10*F10</f>
        <v>92.8</v>
      </c>
      <c r="M10" s="8" t="n">
        <v>0</v>
      </c>
      <c r="N10" s="7" t="n">
        <f aca="false">L10-M10</f>
        <v>92.8</v>
      </c>
    </row>
    <row r="11" customFormat="false" ht="15" hidden="false" customHeight="false" outlineLevel="0" collapsed="false">
      <c r="A11" s="3" t="s">
        <v>20</v>
      </c>
      <c r="B11" s="4" t="n">
        <v>95</v>
      </c>
      <c r="C11" s="5" t="n">
        <v>116.6</v>
      </c>
      <c r="D11" s="5" t="n">
        <v>116.55</v>
      </c>
      <c r="E11" s="5" t="n">
        <v>0.34</v>
      </c>
      <c r="F11" s="5" t="n">
        <v>0.2</v>
      </c>
      <c r="G11" s="6" t="n">
        <f aca="false">D11-E11-F11</f>
        <v>116.01</v>
      </c>
      <c r="H11" s="7" t="n">
        <f aca="false">MAX(0,C11-G11)*B11</f>
        <v>56.0500000000003</v>
      </c>
      <c r="I11" s="7" t="n">
        <f aca="false">MAX(0,G11-C11)*B11</f>
        <v>0</v>
      </c>
      <c r="J11" s="7" t="n">
        <f aca="false">H11-I11</f>
        <v>56.0500000000003</v>
      </c>
      <c r="L11" s="7" t="n">
        <f aca="false">B11*F11</f>
        <v>19</v>
      </c>
      <c r="M11" s="8" t="n">
        <v>0</v>
      </c>
      <c r="N11" s="7" t="n">
        <f aca="false">L11-M11</f>
        <v>19</v>
      </c>
    </row>
    <row r="12" customFormat="false" ht="15" hidden="false" customHeight="false" outlineLevel="0" collapsed="false">
      <c r="A12" s="3" t="s">
        <v>21</v>
      </c>
      <c r="B12" s="4" t="n">
        <v>1023</v>
      </c>
      <c r="C12" s="5" t="n">
        <v>117</v>
      </c>
      <c r="D12" s="5" t="n">
        <v>116.6</v>
      </c>
      <c r="E12" s="5" t="n">
        <v>0</v>
      </c>
      <c r="F12" s="5" t="n">
        <v>0.2</v>
      </c>
      <c r="G12" s="6" t="n">
        <f aca="false">D12-E12-F12</f>
        <v>116.4</v>
      </c>
      <c r="H12" s="7" t="n">
        <f aca="false">MAX(0,C12-G12)*B12</f>
        <v>613.800000000009</v>
      </c>
      <c r="I12" s="7" t="n">
        <f aca="false">MAX(0,G12-C12)*B12</f>
        <v>0</v>
      </c>
      <c r="J12" s="7" t="n">
        <f aca="false">H12-I12</f>
        <v>613.800000000009</v>
      </c>
      <c r="L12" s="7" t="n">
        <f aca="false">B12*F12</f>
        <v>204.6</v>
      </c>
      <c r="M12" s="8" t="n">
        <v>0</v>
      </c>
      <c r="N12" s="7" t="n">
        <f aca="false">L12-M12</f>
        <v>204.6</v>
      </c>
    </row>
    <row r="13" customFormat="false" ht="15" hidden="false" customHeight="false" outlineLevel="0" collapsed="false">
      <c r="A13" s="3" t="s">
        <v>22</v>
      </c>
      <c r="B13" s="4" t="n">
        <v>969</v>
      </c>
      <c r="C13" s="5" t="n">
        <v>117.1</v>
      </c>
      <c r="D13" s="5" t="n">
        <v>116.6</v>
      </c>
      <c r="E13" s="5" t="n">
        <v>0</v>
      </c>
      <c r="F13" s="5" t="n">
        <v>0.2</v>
      </c>
      <c r="G13" s="6" t="n">
        <f aca="false">D13-E13-F13</f>
        <v>116.4</v>
      </c>
      <c r="H13" s="7" t="n">
        <f aca="false">MAX(0,C13-G13)*B13</f>
        <v>678.300000000003</v>
      </c>
      <c r="I13" s="7" t="n">
        <f aca="false">MAX(0,G13-C13)*B13</f>
        <v>0</v>
      </c>
      <c r="J13" s="7" t="n">
        <f aca="false">H13-I13</f>
        <v>678.300000000003</v>
      </c>
      <c r="L13" s="7" t="n">
        <f aca="false">B13*F13</f>
        <v>193.8</v>
      </c>
      <c r="M13" s="8" t="n">
        <v>0</v>
      </c>
      <c r="N13" s="7" t="n">
        <f aca="false">L13-M13</f>
        <v>193.8</v>
      </c>
    </row>
    <row r="14" customFormat="false" ht="15" hidden="false" customHeight="false" outlineLevel="0" collapsed="false">
      <c r="A14" s="9" t="s">
        <v>23</v>
      </c>
      <c r="B14" s="10" t="n">
        <f aca="false">SUM(B3:B13)</f>
        <v>4192</v>
      </c>
      <c r="C14" s="11" t="s">
        <v>24</v>
      </c>
      <c r="D14" s="11" t="s">
        <v>24</v>
      </c>
      <c r="E14" s="11" t="s">
        <v>24</v>
      </c>
      <c r="F14" s="11" t="s">
        <v>24</v>
      </c>
      <c r="G14" s="11" t="s">
        <v>24</v>
      </c>
      <c r="H14" s="12" t="n">
        <f aca="false">SUM(H3:H13)</f>
        <v>2406.71</v>
      </c>
      <c r="I14" s="12" t="n">
        <f aca="false">SUM(I3:I13)</f>
        <v>0</v>
      </c>
      <c r="J14" s="12" t="n">
        <f aca="false">SUM(J3:J13)</f>
        <v>2406.71</v>
      </c>
      <c r="L14" s="12" t="n">
        <f aca="false">SUM(L3:L13)</f>
        <v>838.4</v>
      </c>
      <c r="M14" s="12" t="n">
        <f aca="false">SUM(M3:M13)</f>
        <v>0</v>
      </c>
      <c r="N14" s="12" t="n">
        <f aca="false">SUM(N3:N13)</f>
        <v>838.4</v>
      </c>
    </row>
    <row r="15" customFormat="false" ht="15" hidden="false" customHeight="true" outlineLevel="0" collapsed="false">
      <c r="L15" s="13" t="s">
        <v>25</v>
      </c>
      <c r="M15" s="13"/>
      <c r="N15" s="13"/>
    </row>
    <row r="16" customFormat="false" ht="15" hidden="false" customHeight="false" outlineLevel="0" collapsed="false">
      <c r="L16" s="13"/>
      <c r="M16" s="13"/>
      <c r="N16" s="13"/>
    </row>
    <row r="17" customFormat="false" ht="15" hidden="false" customHeight="false" outlineLevel="0" collapsed="false">
      <c r="A17" s="14" t="s">
        <v>26</v>
      </c>
      <c r="B17" s="14"/>
      <c r="C17" s="14"/>
      <c r="D17" s="14"/>
      <c r="E17" s="14"/>
      <c r="L17" s="13"/>
      <c r="M17" s="13"/>
      <c r="N17" s="13"/>
    </row>
    <row r="19" customFormat="false" ht="15" hidden="false" customHeight="false" outlineLevel="0" collapsed="false">
      <c r="A19" s="15" t="s">
        <v>27</v>
      </c>
    </row>
    <row r="20" customFormat="false" ht="15" hidden="false" customHeight="false" outlineLevel="0" collapsed="false">
      <c r="A20" s="15" t="s">
        <v>28</v>
      </c>
    </row>
  </sheetData>
  <mergeCells count="4">
    <mergeCell ref="C1:I1"/>
    <mergeCell ref="L1:N1"/>
    <mergeCell ref="L15:N17"/>
    <mergeCell ref="A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2026-10-15T05:09:25Z</dcterms:created>
  <dc:creator>openpyxl</dc:creator>
  <dc:description/>
  <dc:language>en-US</dc:language>
  <cp:lastModifiedBy/>
  <dcterms:modified xsi:type="dcterms:W3CDTF">2026-10-15T05:09:25Z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